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ti8\Downloads\"/>
    </mc:Choice>
  </mc:AlternateContent>
  <xr:revisionPtr revIDLastSave="0" documentId="13_ncr:1_{B2D8CFEC-2A4C-44DD-B197-EB55715B52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rance lait 2026 actualis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1" l="1"/>
  <c r="H5" i="1"/>
  <c r="J5" i="1" s="1"/>
  <c r="L5" i="1" s="1"/>
  <c r="C6" i="1"/>
  <c r="H6" i="1" s="1"/>
  <c r="J6" i="1" s="1"/>
  <c r="L6" i="1" s="1"/>
  <c r="C7" i="1"/>
  <c r="H7" i="1" s="1"/>
  <c r="J7" i="1" s="1"/>
  <c r="L7" i="1" s="1"/>
  <c r="C8" i="1"/>
  <c r="H8" i="1" s="1"/>
  <c r="J8" i="1" s="1"/>
  <c r="L8" i="1" s="1"/>
  <c r="C9" i="1"/>
  <c r="H9" i="1" s="1"/>
  <c r="J9" i="1" s="1"/>
  <c r="L9" i="1" s="1"/>
  <c r="C10" i="1"/>
  <c r="H10" i="1" s="1"/>
  <c r="J10" i="1" s="1"/>
  <c r="L10" i="1" s="1"/>
  <c r="C11" i="1"/>
  <c r="H11" i="1" s="1"/>
  <c r="J11" i="1" s="1"/>
  <c r="L11" i="1" s="1"/>
  <c r="C12" i="1"/>
  <c r="H12" i="1" s="1"/>
  <c r="J12" i="1" s="1"/>
  <c r="L12" i="1" s="1"/>
  <c r="C13" i="1"/>
  <c r="H13" i="1" s="1"/>
  <c r="J13" i="1" s="1"/>
  <c r="L13" i="1" s="1"/>
  <c r="C14" i="1"/>
  <c r="H14" i="1" s="1"/>
  <c r="J14" i="1" s="1"/>
  <c r="L14" i="1" s="1"/>
  <c r="C15" i="1"/>
  <c r="H15" i="1" s="1"/>
  <c r="J15" i="1" s="1"/>
  <c r="L15" i="1" s="1"/>
  <c r="C16" i="1"/>
  <c r="H16" i="1" s="1"/>
  <c r="J16" i="1" s="1"/>
  <c r="L16" i="1" s="1"/>
  <c r="C17" i="1"/>
  <c r="H17" i="1" s="1"/>
  <c r="J17" i="1" s="1"/>
  <c r="L17" i="1" s="1"/>
  <c r="C18" i="1"/>
  <c r="H18" i="1" s="1"/>
  <c r="J18" i="1" s="1"/>
  <c r="L18" i="1" s="1"/>
  <c r="C19" i="1"/>
  <c r="H19" i="1" s="1"/>
  <c r="J19" i="1" s="1"/>
  <c r="L19" i="1" s="1"/>
  <c r="C20" i="1"/>
  <c r="H20" i="1" s="1"/>
  <c r="J20" i="1" s="1"/>
  <c r="L20" i="1" s="1"/>
  <c r="C21" i="1"/>
  <c r="H21" i="1" s="1"/>
  <c r="J21" i="1" s="1"/>
  <c r="L21" i="1" s="1"/>
</calcChain>
</file>

<file path=xl/sharedStrings.xml><?xml version="1.0" encoding="utf-8"?>
<sst xmlns="http://schemas.openxmlformats.org/spreadsheetml/2006/main" count="31" uniqueCount="31">
  <si>
    <t>Céréales diastasés</t>
  </si>
  <si>
    <t>Cérérales blé biscuité</t>
  </si>
  <si>
    <t>Cérérales blé miel</t>
  </si>
  <si>
    <t>Cérérales blé fruits</t>
  </si>
  <si>
    <t>Céréales riz fruits</t>
  </si>
  <si>
    <t>Céréales riz miel</t>
  </si>
  <si>
    <t>France lait confort 2ème âge 400g</t>
  </si>
  <si>
    <t>France lait Confort 1ér âge 400g</t>
  </si>
  <si>
    <t>France lait FL</t>
  </si>
  <si>
    <t>France lait AR</t>
  </si>
  <si>
    <t>Pré France lait 400g</t>
  </si>
  <si>
    <t>France croissance 900g</t>
  </si>
  <si>
    <t>France lait croissance 400g</t>
  </si>
  <si>
    <t>France lait 2ème âge 900g</t>
  </si>
  <si>
    <t>France lait 2ème âge 400g</t>
  </si>
  <si>
    <t>France lait 1ér âge 900g</t>
  </si>
  <si>
    <t>France lait 1ér âge 400g</t>
  </si>
  <si>
    <t>CFA</t>
  </si>
  <si>
    <t>Euro</t>
  </si>
  <si>
    <t>Différence</t>
  </si>
  <si>
    <t>Prix Labmedis HT</t>
  </si>
  <si>
    <t>PV HT calculé</t>
  </si>
  <si>
    <t>marge</t>
  </si>
  <si>
    <t>PR en CFA</t>
  </si>
  <si>
    <t>Frais transf</t>
  </si>
  <si>
    <t>transit</t>
  </si>
  <si>
    <t>Freight</t>
  </si>
  <si>
    <t>PA</t>
  </si>
  <si>
    <t>Produit</t>
  </si>
  <si>
    <t>STRUCTURE DE CALCUL DES PRODUITS France LAIT  conteneur 4</t>
  </si>
  <si>
    <t>Commissions Promo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</si>
</sst>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3" fontId="1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2" fillId="0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21"/>
  <sheetViews>
    <sheetView tabSelected="1" workbookViewId="0">
      <selection activeCell="N1" sqref="N1"/>
    </sheetView>
  </sheetViews>
  <sheetFormatPr defaultColWidth="11.5546875" defaultRowHeight="14.4" x14ac:dyDescent="0.3"/>
  <cols>
    <col min="1" max="1" width="39.88671875" customWidth="1"/>
    <col min="2" max="2" width="15.5546875" customWidth="1"/>
    <col min="3" max="3" width="9.109375" customWidth="1"/>
    <col min="4" max="4" width="11.109375" customWidth="1"/>
    <col min="5" max="5" width="9.44140625" customWidth="1"/>
    <col min="6" max="6" width="8.88671875" customWidth="1"/>
    <col min="7" max="7" width="10.44140625" customWidth="1"/>
    <col min="8" max="8" width="10.33203125" customWidth="1"/>
    <col min="9" max="10" width="10.5546875" customWidth="1"/>
    <col min="11" max="11" width="14.109375" customWidth="1"/>
    <col min="12" max="12" width="13.5546875" customWidth="1"/>
    <col min="14" max="14" width="15.5546875" customWidth="1"/>
    <col min="17" max="17" width="15" customWidth="1"/>
  </cols>
  <sheetData>
    <row r="2" spans="1:12" ht="18" x14ac:dyDescent="0.35">
      <c r="A2" s="10" t="s">
        <v>29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18" x14ac:dyDescent="0.3">
      <c r="A3" s="11" t="s">
        <v>28</v>
      </c>
      <c r="B3" s="11" t="s">
        <v>27</v>
      </c>
      <c r="C3" s="11"/>
      <c r="D3" s="12" t="s">
        <v>30</v>
      </c>
      <c r="E3" s="8" t="s">
        <v>26</v>
      </c>
      <c r="F3" s="11" t="s">
        <v>25</v>
      </c>
      <c r="G3" s="12" t="s">
        <v>24</v>
      </c>
      <c r="H3" s="14" t="s">
        <v>23</v>
      </c>
      <c r="I3" s="11" t="s">
        <v>22</v>
      </c>
      <c r="J3" s="14" t="s">
        <v>21</v>
      </c>
      <c r="K3" s="12" t="s">
        <v>20</v>
      </c>
      <c r="L3" s="7" t="s">
        <v>19</v>
      </c>
    </row>
    <row r="4" spans="1:12" ht="37.5" customHeight="1" x14ac:dyDescent="0.3">
      <c r="A4" s="11"/>
      <c r="B4" s="6" t="s">
        <v>18</v>
      </c>
      <c r="C4" s="6" t="s">
        <v>17</v>
      </c>
      <c r="D4" s="13"/>
      <c r="E4" s="9"/>
      <c r="F4" s="11"/>
      <c r="G4" s="13"/>
      <c r="H4" s="14"/>
      <c r="I4" s="11"/>
      <c r="J4" s="14"/>
      <c r="K4" s="13"/>
      <c r="L4" s="7"/>
    </row>
    <row r="5" spans="1:12" ht="18" x14ac:dyDescent="0.35">
      <c r="A5" s="5" t="s">
        <v>16</v>
      </c>
      <c r="B5" s="3">
        <v>3.41</v>
      </c>
      <c r="C5" s="2">
        <f t="shared" ref="C5:C21" si="0">B5*655.957</f>
        <v>2236.8133699999998</v>
      </c>
      <c r="D5" s="3">
        <v>1.25</v>
      </c>
      <c r="E5" s="3">
        <v>1.03</v>
      </c>
      <c r="F5" s="3">
        <v>1.0900000000000001</v>
      </c>
      <c r="G5" s="3">
        <v>1.07</v>
      </c>
      <c r="H5" s="2">
        <f t="shared" ref="H5:H21" si="1">C5*D5*E5*F5*G5</f>
        <v>3358.8241205424129</v>
      </c>
      <c r="I5" s="3">
        <v>1.1000000000000001</v>
      </c>
      <c r="J5" s="2">
        <f t="shared" ref="J5:J21" si="2">H5*I5</f>
        <v>3694.7065325966546</v>
      </c>
      <c r="K5" s="2">
        <v>3660</v>
      </c>
      <c r="L5" s="1">
        <f t="shared" ref="L5:L21" si="3">K5-J5</f>
        <v>-34.706532596654597</v>
      </c>
    </row>
    <row r="6" spans="1:12" ht="18" x14ac:dyDescent="0.35">
      <c r="A6" s="5" t="s">
        <v>15</v>
      </c>
      <c r="B6" s="3">
        <v>7.43</v>
      </c>
      <c r="C6" s="2">
        <f t="shared" si="0"/>
        <v>4873.7605100000001</v>
      </c>
      <c r="D6" s="3">
        <v>1.25</v>
      </c>
      <c r="E6" s="3">
        <v>1.03</v>
      </c>
      <c r="F6" s="3">
        <v>1.0900000000000001</v>
      </c>
      <c r="G6" s="3">
        <v>1.07</v>
      </c>
      <c r="H6" s="2">
        <f t="shared" si="1"/>
        <v>7318.4936116217386</v>
      </c>
      <c r="I6" s="3">
        <v>1.1000000000000001</v>
      </c>
      <c r="J6" s="2">
        <f t="shared" si="2"/>
        <v>8050.342972783913</v>
      </c>
      <c r="K6" s="2">
        <v>7915</v>
      </c>
      <c r="L6" s="1">
        <f t="shared" si="3"/>
        <v>-135.34297278391296</v>
      </c>
    </row>
    <row r="7" spans="1:12" ht="18" x14ac:dyDescent="0.35">
      <c r="A7" s="5" t="s">
        <v>14</v>
      </c>
      <c r="B7" s="3">
        <v>3.41</v>
      </c>
      <c r="C7" s="2">
        <f t="shared" si="0"/>
        <v>2236.8133699999998</v>
      </c>
      <c r="D7" s="3">
        <v>1.25</v>
      </c>
      <c r="E7" s="3">
        <v>1.03</v>
      </c>
      <c r="F7" s="3">
        <v>1.0900000000000001</v>
      </c>
      <c r="G7" s="3">
        <v>1.07</v>
      </c>
      <c r="H7" s="2">
        <f t="shared" si="1"/>
        <v>3358.8241205424129</v>
      </c>
      <c r="I7" s="3">
        <v>1.1000000000000001</v>
      </c>
      <c r="J7" s="2">
        <f t="shared" si="2"/>
        <v>3694.7065325966546</v>
      </c>
      <c r="K7" s="2">
        <v>3660</v>
      </c>
      <c r="L7" s="1">
        <f t="shared" si="3"/>
        <v>-34.706532596654597</v>
      </c>
    </row>
    <row r="8" spans="1:12" ht="18" x14ac:dyDescent="0.35">
      <c r="A8" s="5" t="s">
        <v>13</v>
      </c>
      <c r="B8" s="3">
        <v>7.43</v>
      </c>
      <c r="C8" s="2">
        <f t="shared" si="0"/>
        <v>4873.7605100000001</v>
      </c>
      <c r="D8" s="3">
        <v>1.25</v>
      </c>
      <c r="E8" s="3">
        <v>1.03</v>
      </c>
      <c r="F8" s="3">
        <v>1.0900000000000001</v>
      </c>
      <c r="G8" s="3">
        <v>1.07</v>
      </c>
      <c r="H8" s="2">
        <f t="shared" si="1"/>
        <v>7318.4936116217386</v>
      </c>
      <c r="I8" s="3">
        <v>1.1000000000000001</v>
      </c>
      <c r="J8" s="2">
        <f t="shared" si="2"/>
        <v>8050.342972783913</v>
      </c>
      <c r="K8" s="2">
        <v>7915</v>
      </c>
      <c r="L8" s="1">
        <f t="shared" si="3"/>
        <v>-135.34297278391296</v>
      </c>
    </row>
    <row r="9" spans="1:12" ht="18" x14ac:dyDescent="0.35">
      <c r="A9" s="5" t="s">
        <v>12</v>
      </c>
      <c r="B9" s="3">
        <v>3.25</v>
      </c>
      <c r="C9" s="2">
        <f t="shared" si="0"/>
        <v>2131.8602500000002</v>
      </c>
      <c r="D9" s="3">
        <v>1.25</v>
      </c>
      <c r="E9" s="3">
        <v>1.03</v>
      </c>
      <c r="F9" s="3">
        <v>1.0900000000000001</v>
      </c>
      <c r="G9" s="3">
        <v>1.07</v>
      </c>
      <c r="H9" s="2">
        <f t="shared" si="1"/>
        <v>3201.2253348278132</v>
      </c>
      <c r="I9" s="3">
        <v>1.1000000000000001</v>
      </c>
      <c r="J9" s="2">
        <f t="shared" si="2"/>
        <v>3521.347868310595</v>
      </c>
      <c r="K9" s="2">
        <v>3558</v>
      </c>
      <c r="L9" s="1">
        <f t="shared" si="3"/>
        <v>36.652131689404996</v>
      </c>
    </row>
    <row r="10" spans="1:12" ht="18" x14ac:dyDescent="0.35">
      <c r="A10" s="5" t="s">
        <v>11</v>
      </c>
      <c r="B10" s="3">
        <v>7.25</v>
      </c>
      <c r="C10" s="2">
        <f t="shared" si="0"/>
        <v>4755.6882500000002</v>
      </c>
      <c r="D10" s="3">
        <v>1.25</v>
      </c>
      <c r="E10" s="3">
        <v>1.03</v>
      </c>
      <c r="F10" s="3">
        <v>1.0900000000000001</v>
      </c>
      <c r="G10" s="3">
        <v>1.07</v>
      </c>
      <c r="H10" s="2">
        <f t="shared" si="1"/>
        <v>7141.1949776928132</v>
      </c>
      <c r="I10" s="3">
        <v>1.1000000000000001</v>
      </c>
      <c r="J10" s="2">
        <f t="shared" si="2"/>
        <v>7855.3144754620953</v>
      </c>
      <c r="K10" s="2">
        <v>7782</v>
      </c>
      <c r="L10" s="1">
        <f t="shared" si="3"/>
        <v>-73.314475462095288</v>
      </c>
    </row>
    <row r="11" spans="1:12" ht="18" x14ac:dyDescent="0.35">
      <c r="A11" s="5" t="s">
        <v>10</v>
      </c>
      <c r="B11" s="3">
        <v>4.49</v>
      </c>
      <c r="C11" s="2">
        <f t="shared" si="0"/>
        <v>2945.2469300000002</v>
      </c>
      <c r="D11" s="3">
        <v>1.25</v>
      </c>
      <c r="E11" s="3">
        <v>1.03</v>
      </c>
      <c r="F11" s="3">
        <v>1.0900000000000001</v>
      </c>
      <c r="G11" s="3">
        <v>1.07</v>
      </c>
      <c r="H11" s="2">
        <f t="shared" si="1"/>
        <v>4422.6159241159639</v>
      </c>
      <c r="I11" s="3">
        <v>1.1000000000000001</v>
      </c>
      <c r="J11" s="2">
        <f t="shared" si="2"/>
        <v>4864.8775165275611</v>
      </c>
      <c r="K11" s="2">
        <v>4775</v>
      </c>
      <c r="L11" s="1">
        <f t="shared" si="3"/>
        <v>-89.877516527561056</v>
      </c>
    </row>
    <row r="12" spans="1:12" ht="18" x14ac:dyDescent="0.35">
      <c r="A12" s="5" t="s">
        <v>9</v>
      </c>
      <c r="B12" s="3">
        <v>4.41</v>
      </c>
      <c r="C12" s="2">
        <f t="shared" si="0"/>
        <v>2892.7703700000002</v>
      </c>
      <c r="D12" s="3">
        <v>1.25</v>
      </c>
      <c r="E12" s="3">
        <v>1.03</v>
      </c>
      <c r="F12" s="3">
        <v>1.0900000000000001</v>
      </c>
      <c r="G12" s="3">
        <v>1.07</v>
      </c>
      <c r="H12" s="2">
        <f t="shared" si="1"/>
        <v>4343.8165312586634</v>
      </c>
      <c r="I12" s="3">
        <v>1.1000000000000001</v>
      </c>
      <c r="J12" s="2">
        <f t="shared" si="2"/>
        <v>4778.1981843845306</v>
      </c>
      <c r="K12" s="2">
        <v>4960</v>
      </c>
      <c r="L12" s="1">
        <f t="shared" si="3"/>
        <v>181.80181561546942</v>
      </c>
    </row>
    <row r="13" spans="1:12" ht="18" x14ac:dyDescent="0.35">
      <c r="A13" s="5" t="s">
        <v>8</v>
      </c>
      <c r="B13" s="3">
        <v>4.33</v>
      </c>
      <c r="C13" s="2">
        <f t="shared" si="0"/>
        <v>2840.2938100000001</v>
      </c>
      <c r="D13" s="3">
        <v>1.25</v>
      </c>
      <c r="E13" s="3">
        <v>1.03</v>
      </c>
      <c r="F13" s="3">
        <v>1.0900000000000001</v>
      </c>
      <c r="G13" s="3">
        <v>1.07</v>
      </c>
      <c r="H13" s="2">
        <f t="shared" si="1"/>
        <v>4265.0171384013629</v>
      </c>
      <c r="I13" s="3">
        <v>1.1000000000000001</v>
      </c>
      <c r="J13" s="2">
        <f t="shared" si="2"/>
        <v>4691.5188522414992</v>
      </c>
      <c r="K13" s="2">
        <v>4870</v>
      </c>
      <c r="L13" s="1">
        <f t="shared" si="3"/>
        <v>178.48114775850081</v>
      </c>
    </row>
    <row r="14" spans="1:12" ht="18" x14ac:dyDescent="0.35">
      <c r="A14" s="5" t="s">
        <v>7</v>
      </c>
      <c r="B14" s="3">
        <v>3.68</v>
      </c>
      <c r="C14" s="2">
        <f t="shared" si="0"/>
        <v>2413.9217600000002</v>
      </c>
      <c r="D14" s="3">
        <v>1.25</v>
      </c>
      <c r="E14" s="3">
        <v>1.03</v>
      </c>
      <c r="F14" s="3">
        <v>1.0900000000000001</v>
      </c>
      <c r="G14" s="3">
        <v>1.07</v>
      </c>
      <c r="H14" s="2">
        <f t="shared" si="1"/>
        <v>3624.7720714358011</v>
      </c>
      <c r="I14" s="3">
        <v>1.1000000000000001</v>
      </c>
      <c r="J14" s="2">
        <f t="shared" si="2"/>
        <v>3987.2492785793816</v>
      </c>
      <c r="K14" s="2">
        <v>3995</v>
      </c>
      <c r="L14" s="1">
        <f t="shared" si="3"/>
        <v>7.7507214206184472</v>
      </c>
    </row>
    <row r="15" spans="1:12" ht="18" x14ac:dyDescent="0.35">
      <c r="A15" s="5" t="s">
        <v>6</v>
      </c>
      <c r="B15" s="3">
        <v>3.68</v>
      </c>
      <c r="C15" s="2">
        <f t="shared" si="0"/>
        <v>2413.9217600000002</v>
      </c>
      <c r="D15" s="3">
        <v>1.25</v>
      </c>
      <c r="E15" s="3">
        <v>1.03</v>
      </c>
      <c r="F15" s="3">
        <v>1.0900000000000001</v>
      </c>
      <c r="G15" s="3">
        <v>1.07</v>
      </c>
      <c r="H15" s="2">
        <f t="shared" si="1"/>
        <v>3624.7720714358011</v>
      </c>
      <c r="I15" s="3">
        <v>1.1000000000000001</v>
      </c>
      <c r="J15" s="2">
        <f t="shared" si="2"/>
        <v>3987.2492785793816</v>
      </c>
      <c r="K15" s="2">
        <v>3995</v>
      </c>
      <c r="L15" s="1">
        <f t="shared" si="3"/>
        <v>7.7507214206184472</v>
      </c>
    </row>
    <row r="16" spans="1:12" ht="18" x14ac:dyDescent="0.35">
      <c r="A16" s="5" t="s">
        <v>5</v>
      </c>
      <c r="B16" s="3">
        <v>1.31</v>
      </c>
      <c r="C16" s="2">
        <f t="shared" si="0"/>
        <v>859.30367000000001</v>
      </c>
      <c r="D16" s="3">
        <v>1.25</v>
      </c>
      <c r="E16" s="3">
        <v>1.03</v>
      </c>
      <c r="F16" s="3">
        <v>1.0900000000000001</v>
      </c>
      <c r="G16" s="3">
        <v>1.07</v>
      </c>
      <c r="H16" s="2">
        <f t="shared" si="1"/>
        <v>1290.3400580382879</v>
      </c>
      <c r="I16" s="3">
        <v>1.1000000000000001</v>
      </c>
      <c r="J16" s="2">
        <f t="shared" si="2"/>
        <v>1419.3740638421168</v>
      </c>
      <c r="K16" s="2">
        <v>1397</v>
      </c>
      <c r="L16" s="1">
        <f t="shared" si="3"/>
        <v>-22.374063842116811</v>
      </c>
    </row>
    <row r="17" spans="1:12" ht="18" x14ac:dyDescent="0.35">
      <c r="A17" s="5" t="s">
        <v>4</v>
      </c>
      <c r="B17" s="3">
        <v>1.31</v>
      </c>
      <c r="C17" s="2">
        <f t="shared" si="0"/>
        <v>859.30367000000001</v>
      </c>
      <c r="D17" s="3">
        <v>1.25</v>
      </c>
      <c r="E17" s="3">
        <v>1.03</v>
      </c>
      <c r="F17" s="3">
        <v>1.0900000000000001</v>
      </c>
      <c r="G17" s="3">
        <v>1.07</v>
      </c>
      <c r="H17" s="2">
        <f t="shared" si="1"/>
        <v>1290.3400580382879</v>
      </c>
      <c r="I17" s="3">
        <v>1.1000000000000001</v>
      </c>
      <c r="J17" s="2">
        <f t="shared" si="2"/>
        <v>1419.3740638421168</v>
      </c>
      <c r="K17" s="2">
        <v>1397</v>
      </c>
      <c r="L17" s="1">
        <f t="shared" si="3"/>
        <v>-22.374063842116811</v>
      </c>
    </row>
    <row r="18" spans="1:12" ht="18" x14ac:dyDescent="0.35">
      <c r="A18" s="5" t="s">
        <v>3</v>
      </c>
      <c r="B18" s="3">
        <v>1.31</v>
      </c>
      <c r="C18" s="2">
        <f t="shared" si="0"/>
        <v>859.30367000000001</v>
      </c>
      <c r="D18" s="3">
        <v>1.25</v>
      </c>
      <c r="E18" s="3">
        <v>1.03</v>
      </c>
      <c r="F18" s="3">
        <v>1.0900000000000001</v>
      </c>
      <c r="G18" s="3">
        <v>1.07</v>
      </c>
      <c r="H18" s="2">
        <f t="shared" si="1"/>
        <v>1290.3400580382879</v>
      </c>
      <c r="I18" s="3">
        <v>1.1000000000000001</v>
      </c>
      <c r="J18" s="2">
        <f t="shared" si="2"/>
        <v>1419.3740638421168</v>
      </c>
      <c r="K18" s="2">
        <v>1397</v>
      </c>
      <c r="L18" s="1">
        <f t="shared" si="3"/>
        <v>-22.374063842116811</v>
      </c>
    </row>
    <row r="19" spans="1:12" ht="18" x14ac:dyDescent="0.35">
      <c r="A19" s="5" t="s">
        <v>2</v>
      </c>
      <c r="B19" s="3">
        <v>1.31</v>
      </c>
      <c r="C19" s="2">
        <f t="shared" si="0"/>
        <v>859.30367000000001</v>
      </c>
      <c r="D19" s="3">
        <v>1.25</v>
      </c>
      <c r="E19" s="3">
        <v>1.03</v>
      </c>
      <c r="F19" s="3">
        <v>1.0900000000000001</v>
      </c>
      <c r="G19" s="3">
        <v>1.07</v>
      </c>
      <c r="H19" s="2">
        <f t="shared" si="1"/>
        <v>1290.3400580382879</v>
      </c>
      <c r="I19" s="3">
        <v>1.1000000000000001</v>
      </c>
      <c r="J19" s="2">
        <f t="shared" si="2"/>
        <v>1419.3740638421168</v>
      </c>
      <c r="K19" s="2">
        <v>1397</v>
      </c>
      <c r="L19" s="1">
        <f t="shared" si="3"/>
        <v>-22.374063842116811</v>
      </c>
    </row>
    <row r="20" spans="1:12" ht="18" x14ac:dyDescent="0.35">
      <c r="A20" s="5" t="s">
        <v>1</v>
      </c>
      <c r="B20" s="3">
        <v>1.31</v>
      </c>
      <c r="C20" s="2">
        <f t="shared" si="0"/>
        <v>859.30367000000001</v>
      </c>
      <c r="D20" s="3">
        <v>1.25</v>
      </c>
      <c r="E20" s="3">
        <v>1.03</v>
      </c>
      <c r="F20" s="3">
        <v>1.0900000000000001</v>
      </c>
      <c r="G20" s="3">
        <v>1.07</v>
      </c>
      <c r="H20" s="2">
        <f t="shared" si="1"/>
        <v>1290.3400580382879</v>
      </c>
      <c r="I20" s="3">
        <v>1.1000000000000001</v>
      </c>
      <c r="J20" s="2">
        <f t="shared" si="2"/>
        <v>1419.3740638421168</v>
      </c>
      <c r="K20" s="2">
        <v>1397</v>
      </c>
      <c r="L20" s="1">
        <f t="shared" si="3"/>
        <v>-22.374063842116811</v>
      </c>
    </row>
    <row r="21" spans="1:12" ht="18" x14ac:dyDescent="0.35">
      <c r="A21" s="4" t="s">
        <v>0</v>
      </c>
      <c r="B21" s="3">
        <v>1.31</v>
      </c>
      <c r="C21" s="2">
        <f t="shared" si="0"/>
        <v>859.30367000000001</v>
      </c>
      <c r="D21" s="3">
        <v>1.25</v>
      </c>
      <c r="E21" s="3">
        <v>1.03</v>
      </c>
      <c r="F21" s="3">
        <v>1.0900000000000001</v>
      </c>
      <c r="G21" s="3">
        <v>1.07</v>
      </c>
      <c r="H21" s="2">
        <f t="shared" si="1"/>
        <v>1290.3400580382879</v>
      </c>
      <c r="I21" s="3">
        <v>1.1000000000000001</v>
      </c>
      <c r="J21" s="2">
        <f t="shared" si="2"/>
        <v>1419.3740638421168</v>
      </c>
      <c r="K21" s="2">
        <v>1413</v>
      </c>
      <c r="L21" s="1">
        <f t="shared" si="3"/>
        <v>-6.3740638421168114</v>
      </c>
    </row>
  </sheetData>
  <mergeCells count="12">
    <mergeCell ref="L3:L4"/>
    <mergeCell ref="D3:D4"/>
    <mergeCell ref="A2:L2"/>
    <mergeCell ref="A3:A4"/>
    <mergeCell ref="B3:C3"/>
    <mergeCell ref="E3:E4"/>
    <mergeCell ref="F3:F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France lait 2026 actualisé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LABMEDIS SARL</dc:creator>
  <cp:lastModifiedBy>TIDJANI Abdoul-Djelil</cp:lastModifiedBy>
  <dcterms:created xsi:type="dcterms:W3CDTF">2026-08-20T14:56:01Z</dcterms:created>
  <dcterms:modified xsi:type="dcterms:W3CDTF">2026-08-20T16:02:41Z</dcterms:modified>
</cp:coreProperties>
</file>